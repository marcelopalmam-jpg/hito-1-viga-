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92907fbc3d0b6c/Documents/Herramientas computacionales 2/Hito 1 viga/analysis/"/>
    </mc:Choice>
  </mc:AlternateContent>
  <xr:revisionPtr revIDLastSave="53" documentId="8_{3EA512AB-3D69-4FD8-A159-5C7BE8F45010}" xr6:coauthVersionLast="47" xr6:coauthVersionMax="47" xr10:uidLastSave="{2606D4CB-4016-4A2F-AB65-D32EC86B05F9}"/>
  <bookViews>
    <workbookView xWindow="-108" yWindow="-108" windowWidth="23256" windowHeight="12456" xr2:uid="{3FF4F9D9-3A17-4D22-98E0-7BB1BB8380C0}"/>
  </bookViews>
  <sheets>
    <sheet name="Parametros 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14" i="1"/>
  <c r="G15" i="1"/>
  <c r="G13" i="1"/>
  <c r="G12" i="1"/>
  <c r="F13" i="1"/>
  <c r="F14" i="1"/>
  <c r="F15" i="1"/>
  <c r="F16" i="1"/>
  <c r="F17" i="1"/>
  <c r="F18" i="1"/>
  <c r="F19" i="1"/>
  <c r="F20" i="1"/>
  <c r="F12" i="1"/>
  <c r="E14" i="1"/>
  <c r="E15" i="1"/>
  <c r="E16" i="1"/>
  <c r="E17" i="1"/>
  <c r="E18" i="1"/>
  <c r="E19" i="1"/>
  <c r="E20" i="1"/>
  <c r="E13" i="1"/>
  <c r="E12" i="1"/>
  <c r="C13" i="1"/>
  <c r="C14" i="1"/>
  <c r="C15" i="1"/>
  <c r="C16" i="1"/>
  <c r="C17" i="1"/>
  <c r="C18" i="1"/>
  <c r="C19" i="1"/>
  <c r="C20" i="1"/>
  <c r="C12" i="1"/>
  <c r="C8" i="1"/>
  <c r="C7" i="1"/>
</calcChain>
</file>

<file path=xl/sharedStrings.xml><?xml version="1.0" encoding="utf-8"?>
<sst xmlns="http://schemas.openxmlformats.org/spreadsheetml/2006/main" count="29" uniqueCount="27">
  <si>
    <t>Longitud (L)</t>
  </si>
  <si>
    <t>Ancho (b)</t>
  </si>
  <si>
    <t>Altura (h)</t>
  </si>
  <si>
    <t>Valor</t>
  </si>
  <si>
    <t xml:space="preserve">Unidad </t>
  </si>
  <si>
    <t>m</t>
  </si>
  <si>
    <t>Segundo momento de área (I)</t>
  </si>
  <si>
    <r>
      <rPr>
        <sz val="11"/>
        <color theme="1"/>
        <rFont val="Aptos Narrow"/>
        <family val="2"/>
        <scheme val="minor"/>
      </rPr>
      <t>m</t>
    </r>
    <r>
      <rPr>
        <vertAlign val="superscript"/>
        <sz val="11"/>
        <color theme="1"/>
        <rFont val="Aptos Narrow"/>
        <family val="2"/>
        <scheme val="minor"/>
      </rPr>
      <t>4</t>
    </r>
  </si>
  <si>
    <t>Pa</t>
  </si>
  <si>
    <t>Módulo de elasticidad convertido (E)</t>
  </si>
  <si>
    <t>Carga P (kN)</t>
  </si>
  <si>
    <t>Carga P (N)</t>
  </si>
  <si>
    <t>Deflexión medida (mm)</t>
  </si>
  <si>
    <t>Deflexión teórica (m)</t>
  </si>
  <si>
    <t>Deflexión teórica (mm)</t>
  </si>
  <si>
    <t>GPa</t>
  </si>
  <si>
    <t>Módulo de elasticidad (E)</t>
  </si>
  <si>
    <r>
      <t>I = b * h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 12</t>
    </r>
  </si>
  <si>
    <t xml:space="preserve">Conversiones de unidades </t>
  </si>
  <si>
    <t>1 kN = 1000 N</t>
  </si>
  <si>
    <t>1 m = 1000 mm</t>
  </si>
  <si>
    <r>
      <t>1 GPa = 10</t>
    </r>
    <r>
      <rPr>
        <vertAlign val="superscript"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 xml:space="preserve"> Pa</t>
    </r>
  </si>
  <si>
    <t>Diferencia relativa (%)</t>
  </si>
  <si>
    <t xml:space="preserve">Fórmulas utilizadas </t>
  </si>
  <si>
    <r>
      <t>δ</t>
    </r>
    <r>
      <rPr>
        <vertAlign val="subscript"/>
        <sz val="11"/>
        <color theme="1"/>
        <rFont val="Aptos Narrow"/>
        <family val="2"/>
        <scheme val="minor"/>
      </rPr>
      <t>teórica</t>
    </r>
    <r>
      <rPr>
        <sz val="11"/>
        <color theme="1"/>
        <rFont val="Aptos Narrow"/>
        <family val="2"/>
        <scheme val="minor"/>
      </rPr>
      <t xml:space="preserve"> = P * L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/(48 * E* I)</t>
    </r>
  </si>
  <si>
    <r>
      <t xml:space="preserve"> Diferencia relativa (%) = (δ</t>
    </r>
    <r>
      <rPr>
        <vertAlign val="subscript"/>
        <sz val="11"/>
        <color theme="1"/>
        <rFont val="Aptos Narrow"/>
        <family val="2"/>
        <scheme val="minor"/>
      </rPr>
      <t>medida</t>
    </r>
    <r>
      <rPr>
        <sz val="11"/>
        <color theme="1"/>
        <rFont val="Aptos Narrow"/>
        <family val="2"/>
        <scheme val="minor"/>
      </rPr>
      <t xml:space="preserve"> - δ</t>
    </r>
    <r>
      <rPr>
        <vertAlign val="subscript"/>
        <sz val="11"/>
        <color theme="1"/>
        <rFont val="Aptos Narrow"/>
        <family val="2"/>
        <scheme val="minor"/>
      </rPr>
      <t>teórica</t>
    </r>
    <r>
      <rPr>
        <sz val="11"/>
        <color theme="1"/>
        <rFont val="Aptos Narrow"/>
        <family val="2"/>
        <scheme val="minor"/>
      </rPr>
      <t xml:space="preserve"> ) / δ</t>
    </r>
    <r>
      <rPr>
        <vertAlign val="subscript"/>
        <sz val="11"/>
        <color theme="1"/>
        <rFont val="Aptos Narrow"/>
        <family val="2"/>
        <scheme val="minor"/>
      </rPr>
      <t>teórica</t>
    </r>
  </si>
  <si>
    <t>Parámetro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</si>
</sst>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Carga</a:t>
            </a:r>
            <a:r>
              <a:rPr lang="es-CL" baseline="0"/>
              <a:t>-deflexión en el centro de la luz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Medida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'Parametros '!$B$12:$B$20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'Parametros '!$D$12:$D$20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 formatCode="0.00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4E-4398-9BDA-BD74E2B18D7F}"/>
            </c:ext>
          </c:extLst>
        </c:ser>
        <c:ser>
          <c:idx val="1"/>
          <c:order val="1"/>
          <c:tx>
            <c:v>Teórica (Euler-Bernoulli)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'Parametros '!$B$12:$B$20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'Parametros '!$F$12:$F$20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 formatCode="0.00">
                  <c:v>0.49999999999999989</c:v>
                </c:pt>
                <c:pt idx="3">
                  <c:v>0.74999999999999989</c:v>
                </c:pt>
                <c:pt idx="4" formatCode="0.00">
                  <c:v>0.99999999999999978</c:v>
                </c:pt>
                <c:pt idx="5">
                  <c:v>1.2499999999999998</c:v>
                </c:pt>
                <c:pt idx="6" formatCode="0.00">
                  <c:v>1.4999999999999998</c:v>
                </c:pt>
                <c:pt idx="7">
                  <c:v>1.7499999999999996</c:v>
                </c:pt>
                <c:pt idx="8" formatCode="0.00">
                  <c:v>1.9999999999999996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4E-4398-9BDA-BD74E2B1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21551"/>
        <c:axId val="1640809135"/>
      </c:scatterChart>
      <c:valAx>
        <c:axId val="7962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</a:t>
                </a:r>
                <a:r>
                  <a:rPr lang="es-CL" baseline="0"/>
                  <a:t> P (kN)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0809135"/>
        <c:crosses val="autoZero"/>
        <c:crossBetween val="midCat"/>
      </c:valAx>
      <c:valAx>
        <c:axId val="16408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Deflexión</a:t>
                </a:r>
                <a:r>
                  <a:rPr lang="es-CL" baseline="0"/>
                  <a:t> en el centro (mm)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62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4</xdr:row>
      <xdr:rowOff>19050</xdr:rowOff>
    </xdr:from>
    <xdr:to>
      <xdr:col>13</xdr:col>
      <xdr:colOff>22860</xdr:colOff>
      <xdr:row>18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68B050-A367-3A89-5FE7-D120F606F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6554-2448-43E1-9F2A-FE109927343C}">
  <dimension ref="B2:G26"/>
  <sheetViews>
    <sheetView tabSelected="1" topLeftCell="C1" zoomScale="96" zoomScaleNormal="96" workbookViewId="0">
      <selection activeCell="H6" sqref="H6"/>
    </sheetView>
  </sheetViews>
  <sheetFormatPr baseColWidth="10" defaultRowHeight="14.4" x14ac:dyDescent="0.3"/>
  <cols>
    <col min="2" max="2" width="40.88671875" customWidth="1"/>
    <col min="3" max="3" width="17" customWidth="1"/>
    <col min="4" max="4" width="22.44140625" customWidth="1"/>
    <col min="5" max="5" width="17.5546875" customWidth="1"/>
    <col min="6" max="6" width="19.33203125" customWidth="1"/>
    <col min="7" max="7" width="18.44140625" customWidth="1"/>
  </cols>
  <sheetData>
    <row r="2" spans="2:7" x14ac:dyDescent="0.3">
      <c r="B2" s="3" t="s">
        <v>26</v>
      </c>
      <c r="C2" s="3" t="s">
        <v>3</v>
      </c>
      <c r="D2" s="3" t="s">
        <v>4</v>
      </c>
    </row>
    <row r="3" spans="2:7" x14ac:dyDescent="0.3">
      <c r="B3" s="4" t="s">
        <v>0</v>
      </c>
      <c r="C3" s="4">
        <v>4</v>
      </c>
      <c r="D3" s="4" t="s">
        <v>5</v>
      </c>
    </row>
    <row r="4" spans="2:7" x14ac:dyDescent="0.3">
      <c r="B4" s="4" t="s">
        <v>1</v>
      </c>
      <c r="C4" s="4">
        <v>0.2</v>
      </c>
      <c r="D4" s="4" t="s">
        <v>5</v>
      </c>
    </row>
    <row r="5" spans="2:7" x14ac:dyDescent="0.3">
      <c r="B5" s="4" t="s">
        <v>2</v>
      </c>
      <c r="C5" s="4">
        <v>0.4</v>
      </c>
      <c r="D5" s="4" t="s">
        <v>5</v>
      </c>
    </row>
    <row r="6" spans="2:7" x14ac:dyDescent="0.3">
      <c r="B6" s="4" t="s">
        <v>16</v>
      </c>
      <c r="C6" s="4">
        <v>25</v>
      </c>
      <c r="D6" s="4" t="s">
        <v>15</v>
      </c>
      <c r="F6" s="2"/>
      <c r="G6" s="1"/>
    </row>
    <row r="7" spans="2:7" x14ac:dyDescent="0.3">
      <c r="B7" s="4" t="s">
        <v>9</v>
      </c>
      <c r="C7" s="4">
        <f>+C6*1000000000</f>
        <v>25000000000</v>
      </c>
      <c r="D7" s="4" t="s">
        <v>8</v>
      </c>
    </row>
    <row r="8" spans="2:7" ht="16.2" x14ac:dyDescent="0.3">
      <c r="B8" s="4" t="s">
        <v>6</v>
      </c>
      <c r="C8" s="4">
        <f>+(C4*(C5)^3/12)</f>
        <v>1.0666666666666669E-3</v>
      </c>
      <c r="D8" s="6" t="s">
        <v>7</v>
      </c>
    </row>
    <row r="11" spans="2:7" x14ac:dyDescent="0.3"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22</v>
      </c>
    </row>
    <row r="12" spans="2:7" x14ac:dyDescent="0.3">
      <c r="B12" s="4">
        <v>0</v>
      </c>
      <c r="C12" s="4">
        <f>+B12*1000</f>
        <v>0</v>
      </c>
      <c r="D12" s="4">
        <v>0</v>
      </c>
      <c r="E12" s="4">
        <f>+C12*($C$3)^3/(48*$C$7*$C$8)</f>
        <v>0</v>
      </c>
      <c r="F12" s="4">
        <f>+E12*1000</f>
        <v>0</v>
      </c>
      <c r="G12" s="4" t="str">
        <f>+IF(C12=0,"",(D12-F12)/F12)</f>
        <v/>
      </c>
    </row>
    <row r="13" spans="2:7" x14ac:dyDescent="0.3">
      <c r="B13" s="4">
        <v>5</v>
      </c>
      <c r="C13" s="4">
        <f t="shared" ref="C13:C20" si="0">+B13*1000</f>
        <v>5000</v>
      </c>
      <c r="D13" s="4">
        <v>0.26</v>
      </c>
      <c r="E13" s="4">
        <f>+C13*($C$3)^3/(48*$C$7*$C$8)</f>
        <v>2.4999999999999995E-4</v>
      </c>
      <c r="F13" s="4">
        <f t="shared" ref="F13:F20" si="1">+E13*1000</f>
        <v>0.24999999999999994</v>
      </c>
      <c r="G13" s="7">
        <f>+IF(C13=0,"",(D13-F13)/F13)</f>
        <v>4.0000000000000265E-2</v>
      </c>
    </row>
    <row r="14" spans="2:7" x14ac:dyDescent="0.3">
      <c r="B14" s="4">
        <v>10</v>
      </c>
      <c r="C14" s="4">
        <f t="shared" si="0"/>
        <v>10000</v>
      </c>
      <c r="D14" s="8">
        <v>0.5</v>
      </c>
      <c r="E14" s="9">
        <f t="shared" ref="E14:E20" si="2">+C14*($C$3)^3/(48*$C$7*$C$8)</f>
        <v>4.999999999999999E-4</v>
      </c>
      <c r="F14" s="8">
        <f t="shared" si="1"/>
        <v>0.49999999999999989</v>
      </c>
      <c r="G14" s="7">
        <f t="shared" ref="G14:G20" si="3">+IF(C14=0,"",(D14-F14)/F14)</f>
        <v>2.2204460492503136E-16</v>
      </c>
    </row>
    <row r="15" spans="2:7" x14ac:dyDescent="0.3">
      <c r="B15" s="4">
        <v>15</v>
      </c>
      <c r="C15" s="4">
        <f t="shared" si="0"/>
        <v>15000</v>
      </c>
      <c r="D15" s="4">
        <v>0.76</v>
      </c>
      <c r="E15" s="9">
        <f t="shared" si="2"/>
        <v>7.4999999999999991E-4</v>
      </c>
      <c r="F15" s="4">
        <f t="shared" si="1"/>
        <v>0.74999999999999989</v>
      </c>
      <c r="G15" s="7">
        <f t="shared" si="3"/>
        <v>1.3333333333333496E-2</v>
      </c>
    </row>
    <row r="16" spans="2:7" x14ac:dyDescent="0.3">
      <c r="B16" s="4">
        <v>20</v>
      </c>
      <c r="C16" s="4">
        <f t="shared" si="0"/>
        <v>20000</v>
      </c>
      <c r="D16" s="4">
        <v>1.01</v>
      </c>
      <c r="E16" s="9">
        <f t="shared" si="2"/>
        <v>9.999999999999998E-4</v>
      </c>
      <c r="F16" s="8">
        <f t="shared" si="1"/>
        <v>0.99999999999999978</v>
      </c>
      <c r="G16" s="7">
        <f t="shared" si="3"/>
        <v>1.0000000000000233E-2</v>
      </c>
    </row>
    <row r="17" spans="2:7" x14ac:dyDescent="0.3">
      <c r="B17" s="4">
        <v>25</v>
      </c>
      <c r="C17" s="4">
        <f t="shared" si="0"/>
        <v>25000</v>
      </c>
      <c r="D17" s="4">
        <v>1.28</v>
      </c>
      <c r="E17" s="4">
        <f t="shared" si="2"/>
        <v>1.2499999999999998E-3</v>
      </c>
      <c r="F17" s="4">
        <f t="shared" si="1"/>
        <v>1.2499999999999998</v>
      </c>
      <c r="G17" s="7">
        <f t="shared" si="3"/>
        <v>2.4000000000000202E-2</v>
      </c>
    </row>
    <row r="18" spans="2:7" x14ac:dyDescent="0.3">
      <c r="B18" s="4">
        <v>30</v>
      </c>
      <c r="C18" s="4">
        <f t="shared" si="0"/>
        <v>30000</v>
      </c>
      <c r="D18" s="4">
        <v>1.54</v>
      </c>
      <c r="E18" s="9">
        <f t="shared" si="2"/>
        <v>1.4999999999999998E-3</v>
      </c>
      <c r="F18" s="8">
        <f t="shared" si="1"/>
        <v>1.4999999999999998</v>
      </c>
      <c r="G18" s="7">
        <f t="shared" si="3"/>
        <v>2.6666666666666842E-2</v>
      </c>
    </row>
    <row r="19" spans="2:7" x14ac:dyDescent="0.3">
      <c r="B19" s="4">
        <v>35</v>
      </c>
      <c r="C19" s="4">
        <f t="shared" si="0"/>
        <v>35000</v>
      </c>
      <c r="D19" s="4">
        <v>1.77</v>
      </c>
      <c r="E19" s="4">
        <f t="shared" si="2"/>
        <v>1.7499999999999996E-3</v>
      </c>
      <c r="F19" s="4">
        <f t="shared" si="1"/>
        <v>1.7499999999999996</v>
      </c>
      <c r="G19" s="7">
        <f t="shared" si="3"/>
        <v>1.1428571428571696E-2</v>
      </c>
    </row>
    <row r="20" spans="2:7" x14ac:dyDescent="0.3">
      <c r="B20" s="4">
        <v>40</v>
      </c>
      <c r="C20" s="4">
        <f t="shared" si="0"/>
        <v>40000</v>
      </c>
      <c r="D20" s="4">
        <v>2.0499999999999998</v>
      </c>
      <c r="E20" s="9">
        <f t="shared" si="2"/>
        <v>1.9999999999999996E-3</v>
      </c>
      <c r="F20" s="8">
        <f t="shared" si="1"/>
        <v>1.9999999999999996</v>
      </c>
      <c r="G20" s="7">
        <f t="shared" si="3"/>
        <v>2.500000000000014E-2</v>
      </c>
    </row>
    <row r="23" spans="2:7" x14ac:dyDescent="0.3">
      <c r="B23" s="3" t="s">
        <v>23</v>
      </c>
      <c r="D23" s="3" t="s">
        <v>18</v>
      </c>
    </row>
    <row r="24" spans="2:7" ht="16.2" x14ac:dyDescent="0.3">
      <c r="B24" s="5" t="s">
        <v>17</v>
      </c>
      <c r="D24" s="5" t="s">
        <v>19</v>
      </c>
    </row>
    <row r="25" spans="2:7" ht="16.8" x14ac:dyDescent="0.35">
      <c r="B25" s="5" t="s">
        <v>24</v>
      </c>
      <c r="D25" s="5" t="s">
        <v>21</v>
      </c>
    </row>
    <row r="26" spans="2:7" ht="15.6" x14ac:dyDescent="0.35">
      <c r="B26" s="5" t="s">
        <v>25</v>
      </c>
      <c r="D26" s="5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</dc:creator>
  <cp:lastModifiedBy>Marcelo P</cp:lastModifiedBy>
  <dcterms:created xsi:type="dcterms:W3CDTF">2026-10-02T01:00:32Z</dcterms:created>
  <dcterms:modified xsi:type="dcterms:W3CDTF">2026-10-03T21:10:09Z</dcterms:modified>
</cp:coreProperties>
</file>